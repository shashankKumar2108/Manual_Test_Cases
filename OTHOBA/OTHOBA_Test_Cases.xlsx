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C05F12AF-F6FC-4D8E-9101-88BF795E72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9" i="3" l="1"/>
  <c r="I37" i="3"/>
  <c r="I34" i="3"/>
  <c r="I30" i="3"/>
  <c r="I28" i="3"/>
  <c r="I26" i="3"/>
  <c r="I23" i="3"/>
  <c r="I20" i="3"/>
  <c r="I18" i="3"/>
  <c r="I16" i="3"/>
  <c r="I13" i="3"/>
  <c r="I11" i="3"/>
  <c r="I9" i="3"/>
  <c r="I7" i="3"/>
  <c r="I3" i="3" l="1"/>
  <c r="I4" i="3" l="1"/>
  <c r="I5" i="3" s="1"/>
</calcChain>
</file>

<file path=xl/sharedStrings.xml><?xml version="1.0" encoding="utf-8"?>
<sst xmlns="http://schemas.openxmlformats.org/spreadsheetml/2006/main" count="141" uniqueCount="96">
  <si>
    <t>PASS</t>
  </si>
  <si>
    <t>FAIL</t>
  </si>
  <si>
    <t>Remarks</t>
  </si>
  <si>
    <t>Yes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</si>
  <si>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</si>
  <si>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</si>
  <si>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</si>
  <si>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</si>
  <si>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</si>
  <si>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</si>
  <si>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</si>
  <si>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</si>
  <si>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</si>
  <si>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</si>
  <si>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</si>
  <si>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</si>
  <si>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</si>
  <si>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</si>
  <si>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</si>
  <si>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</si>
  <si>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</si>
  <si>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</si>
  <si>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</si>
  <si>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</si>
  <si>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</si>
  <si>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</si>
  <si>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</si>
  <si>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</si>
  <si>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TC003</t>
  </si>
  <si>
    <t>TC004</t>
  </si>
  <si>
    <t>Not able to register</t>
  </si>
  <si>
    <t>Should not be able to register with blank input</t>
  </si>
  <si>
    <t>TC005</t>
  </si>
  <si>
    <t xml:space="preserve"> able to register</t>
  </si>
  <si>
    <t>Registration with invalid name</t>
  </si>
  <si>
    <t>Should not be able to register without  confirm passward</t>
  </si>
  <si>
    <t>TC010</t>
  </si>
  <si>
    <t>Should not be able to register without  passward</t>
  </si>
  <si>
    <t>Mr.x</t>
  </si>
  <si>
    <t>Test Step</t>
  </si>
  <si>
    <t>step 1</t>
  </si>
  <si>
    <t>TC007</t>
  </si>
  <si>
    <t>Test casess for Othoba.COM Regestrstion process</t>
  </si>
  <si>
    <t>https://www.othoba.com/register</t>
  </si>
  <si>
    <t>Click on the  "REGISTAR" Button</t>
  </si>
  <si>
    <t>Click on the "URL" Button</t>
  </si>
  <si>
    <t xml:space="preserve">Check URL of Othoba.com
</t>
  </si>
  <si>
    <t>Should be displyed register page</t>
  </si>
  <si>
    <t xml:space="preserve"> able to displyed register page</t>
  </si>
  <si>
    <t xml:space="preserve"> not able to register</t>
  </si>
  <si>
    <t xml:space="preserve">Registration  with blank input </t>
  </si>
  <si>
    <t>Registration with first name valid but blank last name</t>
  </si>
  <si>
    <t>should be ask to user for input last name</t>
  </si>
  <si>
    <t xml:space="preserve"> Displyed last name is required</t>
  </si>
  <si>
    <t xml:space="preserve">first name: kamrul 
last name : </t>
  </si>
  <si>
    <t>Registration with first name blank but  last name valid</t>
  </si>
  <si>
    <t>first name: 
last name : islam</t>
  </si>
  <si>
    <t>should be ask to user for input first name</t>
  </si>
  <si>
    <t xml:space="preserve"> Displyed first name is required</t>
  </si>
  <si>
    <t>(@#$%)</t>
  </si>
  <si>
    <t>Registration with invalid phone number</t>
  </si>
  <si>
    <t>0195371609 (10) digit</t>
  </si>
  <si>
    <t>Should not be able to register with invalid  phone number</t>
  </si>
  <si>
    <t>TC006</t>
  </si>
  <si>
    <t>Should be able to register with valid  phone number</t>
  </si>
  <si>
    <t xml:space="preserve">  able to register</t>
  </si>
  <si>
    <t>TC08</t>
  </si>
  <si>
    <t>Registration with invalid email</t>
  </si>
  <si>
    <t>mail:1@g</t>
  </si>
  <si>
    <t>Should not  be able to register with invald mail</t>
  </si>
  <si>
    <t>TC09</t>
  </si>
  <si>
    <t>Registration with blank address</t>
  </si>
  <si>
    <t>Should not  be able to register with blank address</t>
  </si>
  <si>
    <t>Registration with blank city</t>
  </si>
  <si>
    <t>Should not  be able to register with blank city</t>
  </si>
  <si>
    <t>TC011</t>
  </si>
  <si>
    <t>Registration with  city name</t>
  </si>
  <si>
    <t>city: d</t>
  </si>
  <si>
    <t>Should not  be able to register with just 1 char city name</t>
  </si>
  <si>
    <t>TC012</t>
  </si>
  <si>
    <t>Login without without passward</t>
  </si>
  <si>
    <t xml:space="preserve">
passward: </t>
  </si>
  <si>
    <t>TC013</t>
  </si>
  <si>
    <t>Login  without confirm passward</t>
  </si>
  <si>
    <t xml:space="preserve">
confirm passward: </t>
  </si>
  <si>
    <t>TC014</t>
  </si>
  <si>
    <t>Registration with all valid</t>
  </si>
  <si>
    <t>All  input fillap</t>
  </si>
  <si>
    <t>should get OTP code</t>
  </si>
  <si>
    <t>able to get OTP code</t>
  </si>
  <si>
    <t>Registration with  valid phone number</t>
  </si>
  <si>
    <t>Should not be able to register with invalid  name</t>
  </si>
  <si>
    <t xml:space="preserve"> Shashank k</t>
  </si>
  <si>
    <t>Shashank k</t>
  </si>
  <si>
    <t>Othoba.com</t>
  </si>
  <si>
    <t>Test Executed by: Shashank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</si>
</sst>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0"/>
      <name val="Arial"/>
      <family val="2"/>
    </font>
    <font>
      <u/>
      <sz val="10"/>
      <color theme="8"/>
      <name val="Arial"/>
      <family val="2"/>
    </font>
    <font>
      <sz val="10"/>
      <color theme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  <fill>
      <patternFill patternType="solid">
        <fgColor theme="5"/>
        <bgColor rgb="FFFABF8F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1" fillId="0" borderId="1" xfId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2" borderId="4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1" fillId="0" borderId="8" xfId="1" quotePrefix="1" applyBorder="1" applyAlignment="1">
      <alignment horizontal="left" vertical="center"/>
    </xf>
    <xf numFmtId="0" fontId="5" fillId="0" borderId="12" xfId="0" applyFont="1" applyBorder="1" applyAlignment="1">
      <alignment vertical="center" wrapText="1"/>
    </xf>
    <xf numFmtId="0" fontId="6" fillId="0" borderId="8" xfId="0" quotePrefix="1" applyFont="1" applyBorder="1" applyAlignment="1">
      <alignment horizontal="left" vertical="center" wrapText="1"/>
    </xf>
    <xf numFmtId="0" fontId="7" fillId="0" borderId="1" xfId="1" quotePrefix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9" borderId="2" xfId="0" applyFont="1" applyFill="1" applyBorder="1" applyAlignment="1">
      <alignment vertical="center"/>
    </xf>
    <xf numFmtId="0" fontId="6" fillId="0" borderId="8" xfId="0" quotePrefix="1" applyFont="1" applyBorder="1" applyAlignment="1">
      <alignment horizontal="left" vertical="top" wrapText="1"/>
    </xf>
    <xf numFmtId="0" fontId="11" fillId="0" borderId="9" xfId="1" applyFont="1" applyBorder="1" applyAlignment="1">
      <alignment vertical="top"/>
    </xf>
    <xf numFmtId="0" fontId="10" fillId="0" borderId="1" xfId="1" applyFont="1" applyBorder="1" applyAlignment="1">
      <alignment vertical="center" wrapText="1"/>
    </xf>
    <xf numFmtId="0" fontId="5" fillId="0" borderId="8" xfId="0" applyFont="1" applyBorder="1" applyAlignment="1">
      <alignment vertical="top" wrapText="1"/>
    </xf>
    <xf numFmtId="0" fontId="5" fillId="2" borderId="10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10" fillId="0" borderId="8" xfId="1" applyFont="1" applyBorder="1" applyAlignment="1">
      <alignment vertical="top"/>
    </xf>
    <xf numFmtId="0" fontId="1" fillId="0" borderId="13" xfId="1" applyFill="1" applyBorder="1" applyAlignment="1">
      <alignment vertical="center" wrapText="1"/>
    </xf>
    <xf numFmtId="0" fontId="1" fillId="0" borderId="9" xfId="1" applyBorder="1" applyAlignment="1">
      <alignment vertical="top"/>
    </xf>
    <xf numFmtId="0" fontId="1" fillId="0" borderId="9" xfId="1" applyBorder="1" applyAlignment="1">
      <alignment vertical="top" wrapText="1"/>
    </xf>
    <xf numFmtId="0" fontId="1" fillId="0" borderId="1" xfId="1" applyBorder="1" applyAlignment="1">
      <alignment vertical="top"/>
    </xf>
    <xf numFmtId="0" fontId="1" fillId="0" borderId="1" xfId="1" applyBorder="1" applyAlignment="1">
      <alignment vertical="center"/>
    </xf>
    <xf numFmtId="0" fontId="2" fillId="8" borderId="4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36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thoba.com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2060"/>
  </sheetPr>
  <dimension ref="A1:I984"/>
  <sheetViews>
    <sheetView showGridLines="0" tabSelected="1" zoomScale="85" zoomScaleNormal="85" workbookViewId="0">
      <pane ySplit="6" topLeftCell="A30" activePane="bottomLeft" state="frozen"/>
      <selection pane="bottomLeft" activeCell="A5" sqref="A5:B5"/>
    </sheetView>
  </sheetViews>
  <sheetFormatPr defaultColWidth="14.44140625" defaultRowHeight="15" customHeight="1" x14ac:dyDescent="0.25"/>
  <cols>
    <col min="1" max="1" width="21.77734375" style="6" customWidth="1"/>
    <col min="2" max="3" width="18.21875" style="6" customWidth="1"/>
    <col min="4" max="4" width="34.77734375" style="6" customWidth="1"/>
    <col min="5" max="5" width="37.77734375" style="6" customWidth="1"/>
    <col min="6" max="6" width="28.21875" style="6" customWidth="1"/>
    <col min="7" max="7" width="30" style="6" customWidth="1"/>
    <col min="8" max="8" width="13.77734375" style="6" customWidth="1"/>
    <col min="9" max="9" width="23.109375" style="6" customWidth="1"/>
    <col min="10" max="10" width="17.21875" style="6" customWidth="1"/>
    <col min="11" max="16384" width="14.44140625" style="6"/>
  </cols>
  <sheetData>
    <row r="1" spans="1:9" ht="18" customHeight="1" x14ac:dyDescent="0.25">
      <c r="A1" s="61" t="s">
        <v>5</v>
      </c>
      <c r="B1" s="60"/>
      <c r="C1" s="40" t="s">
        <v>94</v>
      </c>
      <c r="D1" s="4" t="s">
        <v>6</v>
      </c>
      <c r="E1" s="27">
        <v>46075</v>
      </c>
      <c r="F1" s="5" t="s">
        <v>7</v>
      </c>
      <c r="G1" s="27">
        <v>46075</v>
      </c>
      <c r="H1" s="62" t="s">
        <v>8</v>
      </c>
      <c r="I1" s="60"/>
    </row>
    <row r="2" spans="1:9" ht="41.4" x14ac:dyDescent="0.25">
      <c r="A2" s="59" t="s">
        <v>9</v>
      </c>
      <c r="B2" s="60"/>
      <c r="C2" s="42" t="s">
        <v>42</v>
      </c>
      <c r="D2" s="4" t="s">
        <v>10</v>
      </c>
      <c r="E2" s="27">
        <v>46075</v>
      </c>
      <c r="F2" s="7" t="s">
        <v>11</v>
      </c>
      <c r="G2" s="27">
        <v>46075</v>
      </c>
      <c r="H2" s="4" t="s">
        <v>0</v>
      </c>
      <c r="I2" s="21">
        <v>7</v>
      </c>
    </row>
    <row r="3" spans="1:9" ht="18" customHeight="1" x14ac:dyDescent="0.25">
      <c r="A3" s="59"/>
      <c r="B3" s="60"/>
      <c r="C3" s="40"/>
      <c r="D3" s="8" t="s">
        <v>12</v>
      </c>
      <c r="E3" s="3" t="s">
        <v>92</v>
      </c>
      <c r="F3" s="1" t="s">
        <v>13</v>
      </c>
      <c r="G3" s="2" t="s">
        <v>3</v>
      </c>
      <c r="H3" s="9" t="s">
        <v>1</v>
      </c>
      <c r="I3" s="22">
        <f>COUNTIF(H9:H40, "Fail")</f>
        <v>2</v>
      </c>
    </row>
    <row r="4" spans="1:9" ht="18" customHeight="1" x14ac:dyDescent="0.25">
      <c r="A4" s="59" t="s">
        <v>14</v>
      </c>
      <c r="B4" s="60"/>
      <c r="C4" s="40" t="s">
        <v>38</v>
      </c>
      <c r="D4" s="8" t="s">
        <v>15</v>
      </c>
      <c r="E4" s="2" t="s">
        <v>93</v>
      </c>
      <c r="F4" s="1" t="s">
        <v>16</v>
      </c>
      <c r="G4" s="10" t="s">
        <v>4</v>
      </c>
      <c r="H4" s="4" t="s">
        <v>17</v>
      </c>
      <c r="I4" s="23">
        <f>COUNTIF(H9:H40, "WARNING")</f>
        <v>0</v>
      </c>
    </row>
    <row r="5" spans="1:9" ht="18" customHeight="1" x14ac:dyDescent="0.25">
      <c r="A5" s="56" t="s">
        <v>95</v>
      </c>
      <c r="B5" s="57"/>
      <c r="C5" s="43"/>
      <c r="D5" s="58"/>
      <c r="E5" s="58"/>
      <c r="F5" s="58"/>
      <c r="G5" s="57"/>
      <c r="H5" s="11" t="s">
        <v>18</v>
      </c>
      <c r="I5" s="24">
        <f>SUM(I2:I4:I3)</f>
        <v>9</v>
      </c>
    </row>
    <row r="6" spans="1:9" ht="18" customHeight="1" x14ac:dyDescent="0.25">
      <c r="A6" s="12" t="s">
        <v>19</v>
      </c>
      <c r="B6" s="13" t="s">
        <v>20</v>
      </c>
      <c r="C6" s="41" t="s">
        <v>39</v>
      </c>
      <c r="D6" s="30" t="s">
        <v>23</v>
      </c>
      <c r="E6" s="13" t="s">
        <v>24</v>
      </c>
      <c r="F6" s="13" t="s">
        <v>21</v>
      </c>
      <c r="G6" s="13" t="s">
        <v>25</v>
      </c>
      <c r="H6" s="13" t="s">
        <v>22</v>
      </c>
      <c r="I6" s="13" t="s">
        <v>2</v>
      </c>
    </row>
    <row r="7" spans="1:9" ht="40.950000000000003" customHeight="1" x14ac:dyDescent="0.25">
      <c r="A7" s="14" t="s">
        <v>26</v>
      </c>
      <c r="B7" s="47" t="s">
        <v>46</v>
      </c>
      <c r="C7" s="15" t="s">
        <v>40</v>
      </c>
      <c r="D7" s="35" t="s">
        <v>43</v>
      </c>
      <c r="E7" s="16" t="s">
        <v>45</v>
      </c>
      <c r="F7" s="15" t="s">
        <v>47</v>
      </c>
      <c r="G7" s="16" t="s">
        <v>48</v>
      </c>
      <c r="H7" s="17" t="s">
        <v>0</v>
      </c>
      <c r="I7" s="51" t="str">
        <f>HYPERLINK("https://drive.google.com/file/d/1fQqyQYmy7rH_k6ozXjZG7lzQCqJDRgAa/view?usp=sharing","Display page")</f>
        <v>Display page</v>
      </c>
    </row>
    <row r="8" spans="1:9" ht="13.8" x14ac:dyDescent="0.25">
      <c r="A8" s="19"/>
      <c r="B8" s="15"/>
      <c r="C8" s="15"/>
      <c r="D8" s="29"/>
      <c r="E8" s="15"/>
      <c r="F8" s="15"/>
      <c r="G8" s="15"/>
      <c r="H8" s="18"/>
      <c r="I8" s="34"/>
    </row>
    <row r="9" spans="1:9" ht="27.6" x14ac:dyDescent="0.25">
      <c r="A9" s="14" t="s">
        <v>27</v>
      </c>
      <c r="B9" s="15" t="s">
        <v>50</v>
      </c>
      <c r="C9" s="15" t="s">
        <v>40</v>
      </c>
      <c r="D9" s="44"/>
      <c r="E9" s="16" t="s">
        <v>44</v>
      </c>
      <c r="F9" s="15" t="s">
        <v>31</v>
      </c>
      <c r="G9" s="16" t="s">
        <v>49</v>
      </c>
      <c r="H9" s="33" t="s">
        <v>0</v>
      </c>
      <c r="I9" s="52" t="str">
        <f>HYPERLINK("https://drive.google.com/file/d/1fQqyQYmy7rH_k6ozXjZG7lzQCqJDRgAa/view?usp=sharing","blank input")</f>
        <v>blank input</v>
      </c>
    </row>
    <row r="10" spans="1:9" ht="13.8" x14ac:dyDescent="0.25">
      <c r="A10" s="14"/>
      <c r="B10" s="15"/>
      <c r="C10" s="15"/>
      <c r="D10" s="44"/>
      <c r="E10" s="16"/>
      <c r="F10" s="15"/>
      <c r="G10" s="15"/>
      <c r="H10" s="48"/>
      <c r="I10" s="45"/>
    </row>
    <row r="11" spans="1:9" ht="41.4" x14ac:dyDescent="0.25">
      <c r="A11" s="14" t="s">
        <v>28</v>
      </c>
      <c r="B11" s="15" t="s">
        <v>51</v>
      </c>
      <c r="C11" s="15" t="s">
        <v>40</v>
      </c>
      <c r="D11" s="44" t="s">
        <v>54</v>
      </c>
      <c r="E11" s="16" t="s">
        <v>44</v>
      </c>
      <c r="F11" s="15" t="s">
        <v>52</v>
      </c>
      <c r="G11" s="16" t="s">
        <v>53</v>
      </c>
      <c r="H11" s="33" t="s">
        <v>0</v>
      </c>
      <c r="I11" s="53" t="str">
        <f>HYPERLINK("https://drive.google.com/file/d/1wzqgrSLIb-5ULhfIAhNIS-YyYUBK-2A0/view?usp=sharing","valid first name but blank last name")</f>
        <v>valid first name but blank last name</v>
      </c>
    </row>
    <row r="12" spans="1:9" ht="13.8" x14ac:dyDescent="0.25">
      <c r="A12" s="14"/>
      <c r="B12" s="15"/>
      <c r="C12" s="15"/>
      <c r="D12" s="44"/>
      <c r="E12" s="16"/>
      <c r="F12" s="15"/>
      <c r="G12" s="15"/>
      <c r="H12" s="48"/>
      <c r="I12" s="45"/>
    </row>
    <row r="13" spans="1:9" ht="41.4" x14ac:dyDescent="0.25">
      <c r="A13" s="14" t="s">
        <v>29</v>
      </c>
      <c r="B13" s="15" t="s">
        <v>55</v>
      </c>
      <c r="C13" s="15" t="s">
        <v>40</v>
      </c>
      <c r="D13" s="44" t="s">
        <v>56</v>
      </c>
      <c r="E13" s="16" t="s">
        <v>44</v>
      </c>
      <c r="F13" s="15" t="s">
        <v>57</v>
      </c>
      <c r="G13" s="16" t="s">
        <v>58</v>
      </c>
      <c r="H13" s="33" t="s">
        <v>0</v>
      </c>
      <c r="I13" s="53" t="str">
        <f>HYPERLINK("https://drive.google.com/file/d/1hm3JdrEUezOHVPqnKTT3e7wwHJy71QtW/view?usp=sharing","last name valid but first name blank")</f>
        <v>last name valid but first name blank</v>
      </c>
    </row>
    <row r="14" spans="1:9" ht="13.8" x14ac:dyDescent="0.25">
      <c r="A14" s="14"/>
      <c r="B14" s="15"/>
      <c r="C14" s="15"/>
      <c r="D14" s="44"/>
      <c r="E14" s="16"/>
      <c r="F14" s="15"/>
      <c r="G14" s="15"/>
      <c r="H14" s="48"/>
      <c r="I14" s="45"/>
    </row>
    <row r="15" spans="1:9" ht="13.8" x14ac:dyDescent="0.25">
      <c r="A15" s="19"/>
      <c r="B15" s="15"/>
      <c r="C15" s="15"/>
      <c r="D15" s="29"/>
      <c r="E15" s="16"/>
      <c r="F15" s="15"/>
      <c r="G15" s="15"/>
      <c r="H15" s="18"/>
      <c r="I15" s="25"/>
    </row>
    <row r="16" spans="1:9" ht="27.6" x14ac:dyDescent="0.25">
      <c r="A16" s="14" t="s">
        <v>32</v>
      </c>
      <c r="B16" s="15" t="s">
        <v>34</v>
      </c>
      <c r="C16" s="15" t="s">
        <v>40</v>
      </c>
      <c r="D16" s="29" t="s">
        <v>59</v>
      </c>
      <c r="E16" s="16" t="s">
        <v>44</v>
      </c>
      <c r="F16" s="15" t="s">
        <v>91</v>
      </c>
      <c r="G16" s="16" t="s">
        <v>33</v>
      </c>
      <c r="H16" s="17" t="s">
        <v>1</v>
      </c>
      <c r="I16" s="54" t="str">
        <f>HYPERLINK("https://drive.google.com/file/d/197TvVhHWKhqVBQeHKJadRpKpvZxEefeO/view?usp=sharing","Invalid name")</f>
        <v>Invalid name</v>
      </c>
    </row>
    <row r="17" spans="1:9" ht="13.8" x14ac:dyDescent="0.25">
      <c r="A17" s="14"/>
      <c r="B17" s="15"/>
      <c r="C17" s="15"/>
      <c r="D17" s="29"/>
      <c r="E17" s="15"/>
      <c r="F17" s="15"/>
      <c r="G17" s="16"/>
      <c r="H17" s="49"/>
      <c r="I17" s="50"/>
    </row>
    <row r="18" spans="1:9" ht="27.6" x14ac:dyDescent="0.25">
      <c r="A18" s="14" t="s">
        <v>63</v>
      </c>
      <c r="B18" s="15" t="s">
        <v>60</v>
      </c>
      <c r="C18" s="15" t="s">
        <v>40</v>
      </c>
      <c r="D18" s="29" t="s">
        <v>61</v>
      </c>
      <c r="E18" s="16" t="s">
        <v>44</v>
      </c>
      <c r="F18" s="15" t="s">
        <v>62</v>
      </c>
      <c r="G18" s="16" t="s">
        <v>49</v>
      </c>
      <c r="H18" s="17" t="s">
        <v>0</v>
      </c>
      <c r="I18" s="54" t="str">
        <f>HYPERLINK("https://drive.google.com/file/d/1JOKhw4pWm066aFEDmvs9f89IesLZ4oOV/view?usp=sharing","Invalid phone number")</f>
        <v>Invalid phone number</v>
      </c>
    </row>
    <row r="19" spans="1:9" ht="13.8" x14ac:dyDescent="0.25">
      <c r="A19" s="19"/>
      <c r="B19" s="15"/>
      <c r="C19" s="15"/>
      <c r="D19" s="29"/>
      <c r="E19" s="15"/>
      <c r="F19" s="15"/>
      <c r="G19" s="16"/>
      <c r="H19" s="18"/>
      <c r="I19" s="25"/>
    </row>
    <row r="20" spans="1:9" ht="27.6" x14ac:dyDescent="0.25">
      <c r="A20" s="14" t="s">
        <v>41</v>
      </c>
      <c r="B20" s="15" t="s">
        <v>90</v>
      </c>
      <c r="C20" s="15" t="s">
        <v>40</v>
      </c>
      <c r="D20" s="29">
        <v>1953716092</v>
      </c>
      <c r="E20" s="16" t="s">
        <v>44</v>
      </c>
      <c r="F20" s="15" t="s">
        <v>64</v>
      </c>
      <c r="G20" s="16" t="s">
        <v>65</v>
      </c>
      <c r="H20" s="17" t="s">
        <v>0</v>
      </c>
      <c r="I20" s="54" t="str">
        <f>HYPERLINK("https://drive.google.com/file/d/1nhVisGaFuG2tSz-DsR6VNYanX_YDD1Ke/view?usp=sharing","valid phone number")</f>
        <v>valid phone number</v>
      </c>
    </row>
    <row r="21" spans="1:9" ht="13.8" x14ac:dyDescent="0.25">
      <c r="A21" s="19"/>
      <c r="B21" s="15"/>
      <c r="C21" s="15"/>
      <c r="D21" s="29"/>
      <c r="E21" s="15"/>
      <c r="F21" s="15"/>
      <c r="G21" s="16"/>
      <c r="H21" s="18"/>
      <c r="I21" s="25"/>
    </row>
    <row r="22" spans="1:9" ht="13.8" x14ac:dyDescent="0.25">
      <c r="A22" s="19"/>
      <c r="B22" s="15"/>
      <c r="C22" s="15"/>
      <c r="D22" s="29"/>
      <c r="E22" s="15"/>
      <c r="F22" s="15"/>
      <c r="G22" s="16"/>
      <c r="H22" s="18"/>
      <c r="I22" s="25"/>
    </row>
    <row r="23" spans="1:9" ht="27.6" x14ac:dyDescent="0.25">
      <c r="A23" s="14" t="s">
        <v>66</v>
      </c>
      <c r="B23" s="15" t="s">
        <v>67</v>
      </c>
      <c r="C23" s="15" t="s">
        <v>40</v>
      </c>
      <c r="D23" s="37" t="s">
        <v>68</v>
      </c>
      <c r="E23" s="16" t="s">
        <v>44</v>
      </c>
      <c r="F23" s="15" t="s">
        <v>69</v>
      </c>
      <c r="G23" s="16" t="s">
        <v>49</v>
      </c>
      <c r="H23" s="17" t="s">
        <v>0</v>
      </c>
      <c r="I23" s="28" t="str">
        <f>HYPERLINK("https://drive.google.com/file/d/1QXaotwswgPZyAt6Tx2btOgJRosJdyOyD/view?usp=sharing","Invalid email")</f>
        <v>Invalid email</v>
      </c>
    </row>
    <row r="24" spans="1:9" ht="13.8" x14ac:dyDescent="0.25">
      <c r="A24" s="20"/>
      <c r="B24" s="16"/>
      <c r="C24" s="16"/>
      <c r="D24" s="31"/>
      <c r="E24" s="15"/>
      <c r="F24" s="16"/>
      <c r="G24" s="16"/>
      <c r="H24" s="18"/>
      <c r="I24" s="26"/>
    </row>
    <row r="25" spans="1:9" ht="13.8" x14ac:dyDescent="0.25">
      <c r="A25" s="14"/>
      <c r="B25" s="15"/>
      <c r="C25" s="15"/>
      <c r="D25" s="32"/>
      <c r="E25" s="15"/>
      <c r="F25" s="15"/>
      <c r="G25" s="16"/>
      <c r="H25" s="16"/>
      <c r="I25" s="26"/>
    </row>
    <row r="26" spans="1:9" ht="27.6" x14ac:dyDescent="0.25">
      <c r="A26" s="14" t="s">
        <v>70</v>
      </c>
      <c r="B26" s="15" t="s">
        <v>71</v>
      </c>
      <c r="C26" s="15" t="s">
        <v>40</v>
      </c>
      <c r="D26" s="37"/>
      <c r="E26" s="16" t="s">
        <v>44</v>
      </c>
      <c r="F26" s="15" t="s">
        <v>72</v>
      </c>
      <c r="G26" s="16" t="s">
        <v>49</v>
      </c>
      <c r="H26" s="17" t="s">
        <v>0</v>
      </c>
      <c r="I26" s="28" t="str">
        <f>HYPERLINK("https://drive.google.com/file/d/1MdLznYslqtQWYrG9IMF8KDdace_4XxRk/view?usp=sharing","Blank address")</f>
        <v>Blank address</v>
      </c>
    </row>
    <row r="27" spans="1:9" ht="13.8" x14ac:dyDescent="0.25">
      <c r="A27" s="14"/>
      <c r="B27" s="15"/>
      <c r="C27" s="15"/>
      <c r="D27" s="37"/>
      <c r="E27" s="15"/>
      <c r="F27" s="15"/>
      <c r="G27" s="16"/>
      <c r="H27" s="17"/>
      <c r="I27" s="46"/>
    </row>
    <row r="28" spans="1:9" ht="27.6" x14ac:dyDescent="0.25">
      <c r="A28" s="14" t="s">
        <v>36</v>
      </c>
      <c r="B28" s="15" t="s">
        <v>73</v>
      </c>
      <c r="C28" s="15" t="s">
        <v>40</v>
      </c>
      <c r="D28" s="37"/>
      <c r="E28" s="16" t="s">
        <v>44</v>
      </c>
      <c r="F28" s="15" t="s">
        <v>74</v>
      </c>
      <c r="G28" s="16" t="s">
        <v>49</v>
      </c>
      <c r="H28" s="17" t="s">
        <v>0</v>
      </c>
      <c r="I28" s="28" t="str">
        <f>HYPERLINK("https://drive.google.com/file/d/11xQSjdjPqvRXvOtEAlquKFKkjnNFsYhQ/view?usp=sharing","blank city")</f>
        <v>blank city</v>
      </c>
    </row>
    <row r="29" spans="1:9" ht="13.8" x14ac:dyDescent="0.25">
      <c r="A29" s="14"/>
      <c r="B29" s="15"/>
      <c r="C29" s="15"/>
      <c r="D29" s="37"/>
      <c r="E29" s="15"/>
      <c r="F29" s="15"/>
      <c r="G29" s="16"/>
      <c r="H29" s="17"/>
      <c r="I29" s="46"/>
    </row>
    <row r="30" spans="1:9" ht="27.6" x14ac:dyDescent="0.25">
      <c r="A30" s="14" t="s">
        <v>75</v>
      </c>
      <c r="B30" s="15" t="s">
        <v>76</v>
      </c>
      <c r="C30" s="15" t="s">
        <v>40</v>
      </c>
      <c r="D30" s="37" t="s">
        <v>77</v>
      </c>
      <c r="E30" s="16" t="s">
        <v>44</v>
      </c>
      <c r="F30" s="15" t="s">
        <v>78</v>
      </c>
      <c r="G30" s="16" t="s">
        <v>33</v>
      </c>
      <c r="H30" s="17" t="s">
        <v>1</v>
      </c>
      <c r="I30" s="28" t="str">
        <f>HYPERLINK("https://drive.google.com/file/d/1SHQflEnZItfznsiSq2NvzSN2JfD3Usps/view?usp=sharing","1char city name")</f>
        <v>1char city name</v>
      </c>
    </row>
    <row r="31" spans="1:9" ht="13.5" customHeight="1" x14ac:dyDescent="0.25">
      <c r="A31" s="14"/>
      <c r="B31" s="15"/>
      <c r="C31" s="15"/>
      <c r="D31" s="32"/>
      <c r="E31" s="15"/>
      <c r="F31" s="15"/>
      <c r="G31" s="16"/>
      <c r="H31" s="16"/>
      <c r="I31" s="26"/>
    </row>
    <row r="32" spans="1:9" ht="13.8" x14ac:dyDescent="0.25">
      <c r="A32" s="20"/>
      <c r="B32" s="16"/>
      <c r="C32" s="16"/>
      <c r="D32" s="32"/>
      <c r="E32" s="15"/>
      <c r="F32" s="16"/>
      <c r="G32" s="36"/>
      <c r="H32" s="16"/>
      <c r="I32" s="26"/>
    </row>
    <row r="33" spans="1:9" ht="13.8" x14ac:dyDescent="0.25">
      <c r="A33" s="14"/>
      <c r="B33" s="15"/>
      <c r="C33" s="15"/>
      <c r="D33" s="32"/>
      <c r="E33" s="15"/>
      <c r="F33" s="15"/>
      <c r="G33" s="16"/>
      <c r="H33" s="16"/>
      <c r="I33" s="26"/>
    </row>
    <row r="34" spans="1:9" ht="27.6" x14ac:dyDescent="0.25">
      <c r="A34" s="14" t="s">
        <v>79</v>
      </c>
      <c r="B34" s="15" t="s">
        <v>80</v>
      </c>
      <c r="C34" s="15" t="s">
        <v>40</v>
      </c>
      <c r="D34" s="38" t="s">
        <v>81</v>
      </c>
      <c r="E34" s="16" t="s">
        <v>44</v>
      </c>
      <c r="F34" s="15" t="s">
        <v>37</v>
      </c>
      <c r="G34" s="16" t="s">
        <v>30</v>
      </c>
      <c r="H34" s="17" t="s">
        <v>0</v>
      </c>
      <c r="I34" s="55" t="str">
        <f>HYPERLINK("https://drive.google.com/file/d/1wAQdFgu07yb5AMw8j_bWSiY84s8aSoHs/view?usp=sharing","without passward")</f>
        <v>without passward</v>
      </c>
    </row>
    <row r="35" spans="1:9" ht="13.8" x14ac:dyDescent="0.25">
      <c r="A35" s="20"/>
      <c r="B35" s="16"/>
      <c r="C35" s="16"/>
      <c r="D35" s="32"/>
      <c r="E35" s="15"/>
      <c r="F35" s="16"/>
      <c r="G35" s="16"/>
      <c r="H35" s="16"/>
      <c r="I35" s="26"/>
    </row>
    <row r="36" spans="1:9" ht="13.8" x14ac:dyDescent="0.25">
      <c r="A36" s="14"/>
      <c r="B36" s="15"/>
      <c r="C36" s="15"/>
      <c r="D36" s="32"/>
      <c r="E36" s="15"/>
      <c r="F36" s="15"/>
      <c r="G36" s="16"/>
      <c r="H36" s="16"/>
      <c r="I36" s="26"/>
    </row>
    <row r="37" spans="1:9" ht="27.6" x14ac:dyDescent="0.25">
      <c r="A37" s="14" t="s">
        <v>82</v>
      </c>
      <c r="B37" s="15" t="s">
        <v>83</v>
      </c>
      <c r="C37" s="15" t="s">
        <v>40</v>
      </c>
      <c r="D37" s="38" t="s">
        <v>84</v>
      </c>
      <c r="E37" s="16" t="s">
        <v>44</v>
      </c>
      <c r="F37" s="15" t="s">
        <v>35</v>
      </c>
      <c r="G37" s="16" t="s">
        <v>30</v>
      </c>
      <c r="H37" s="17" t="s">
        <v>0</v>
      </c>
      <c r="I37" s="55" t="str">
        <f>HYPERLINK("https://drive.google.com/file/d/1wAQdFgu07yb5AMw8j_bWSiY84s8aSoHs/view?usp=sharing","without  confirm passward")</f>
        <v>without  confirm passward</v>
      </c>
    </row>
    <row r="38" spans="1:9" ht="13.8" x14ac:dyDescent="0.25">
      <c r="A38" s="14"/>
      <c r="B38" s="15"/>
      <c r="C38" s="15"/>
      <c r="D38" s="38"/>
      <c r="E38" s="15"/>
      <c r="F38" s="15"/>
      <c r="G38" s="16"/>
      <c r="H38" s="17"/>
      <c r="I38" s="39"/>
    </row>
    <row r="39" spans="1:9" ht="27.6" x14ac:dyDescent="0.25">
      <c r="A39" s="14" t="s">
        <v>85</v>
      </c>
      <c r="B39" s="15" t="s">
        <v>86</v>
      </c>
      <c r="C39" s="15" t="s">
        <v>40</v>
      </c>
      <c r="D39" s="38" t="s">
        <v>87</v>
      </c>
      <c r="E39" s="15" t="s">
        <v>44</v>
      </c>
      <c r="F39" s="15" t="s">
        <v>88</v>
      </c>
      <c r="G39" s="16" t="s">
        <v>89</v>
      </c>
      <c r="H39" s="17" t="s">
        <v>0</v>
      </c>
      <c r="I39" s="55" t="str">
        <f>HYPERLINK("https://drive.google.com/file/d/1-ERMaGjp8R3pzxHa8CZGXVx-5BFTXG2E/view?usp=sharing","GOT OTP")</f>
        <v>GOT OTP</v>
      </c>
    </row>
    <row r="40" spans="1:9" ht="13.8" x14ac:dyDescent="0.25">
      <c r="A40" s="20"/>
      <c r="B40" s="16"/>
      <c r="C40" s="16"/>
      <c r="D40" s="32"/>
      <c r="E40" s="15"/>
      <c r="F40" s="16"/>
      <c r="G40" s="16"/>
      <c r="H40" s="16"/>
      <c r="I40" s="26"/>
    </row>
    <row r="41" spans="1:9" ht="13.8" x14ac:dyDescent="0.25"/>
    <row r="42" spans="1:9" ht="13.8" x14ac:dyDescent="0.25"/>
    <row r="43" spans="1:9" ht="13.8" x14ac:dyDescent="0.25"/>
    <row r="44" spans="1:9" ht="15.75" customHeight="1" x14ac:dyDescent="0.25"/>
    <row r="45" spans="1:9" ht="59.55" customHeight="1" x14ac:dyDescent="0.25"/>
    <row r="46" spans="1:9" ht="15.75" customHeight="1" x14ac:dyDescent="0.25"/>
    <row r="47" spans="1:9" ht="15.75" customHeight="1" x14ac:dyDescent="0.25"/>
    <row r="48" spans="1:9" ht="30.75" customHeight="1" x14ac:dyDescent="0.25"/>
    <row r="49" ht="15.75" customHeight="1" x14ac:dyDescent="0.25"/>
    <row r="50" ht="15.75" customHeight="1" x14ac:dyDescent="0.25"/>
    <row r="51" ht="31.5" customHeight="1" x14ac:dyDescent="0.25"/>
    <row r="52" ht="15.75" customHeight="1" x14ac:dyDescent="0.25"/>
    <row r="53" ht="13.8" x14ac:dyDescent="0.25"/>
    <row r="54" ht="13.8" x14ac:dyDescent="0.25"/>
    <row r="55" ht="13.8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7">
    <mergeCell ref="A5:B5"/>
    <mergeCell ref="D5:G5"/>
    <mergeCell ref="A4:B4"/>
    <mergeCell ref="A1:B1"/>
    <mergeCell ref="H1:I1"/>
    <mergeCell ref="A2:B2"/>
    <mergeCell ref="A3:B3"/>
  </mergeCells>
  <phoneticPr fontId="8" type="noConversion"/>
  <conditionalFormatting sqref="H7">
    <cfRule type="cellIs" dxfId="35" priority="78" operator="equal">
      <formula>"PASS"</formula>
    </cfRule>
    <cfRule type="cellIs" dxfId="34" priority="77" operator="equal">
      <formula>"FAIL"</formula>
    </cfRule>
    <cfRule type="cellIs" dxfId="33" priority="79" operator="equal">
      <formula>"WARNING"</formula>
    </cfRule>
    <cfRule type="containsBlanks" dxfId="32" priority="80">
      <formula>LEN(TRIM(H7))=0</formula>
    </cfRule>
  </conditionalFormatting>
  <conditionalFormatting sqref="H9:H14">
    <cfRule type="containsBlanks" dxfId="31" priority="24">
      <formula>LEN(TRIM(H9))=0</formula>
    </cfRule>
    <cfRule type="cellIs" dxfId="30" priority="21" operator="equal">
      <formula>"FAIL"</formula>
    </cfRule>
    <cfRule type="cellIs" dxfId="29" priority="22" operator="equal">
      <formula>"PASS"</formula>
    </cfRule>
    <cfRule type="cellIs" dxfId="28" priority="23" operator="equal">
      <formula>"WARNING"</formula>
    </cfRule>
  </conditionalFormatting>
  <conditionalFormatting sqref="H16:H18">
    <cfRule type="cellIs" dxfId="27" priority="17" operator="equal">
      <formula>"FAIL"</formula>
    </cfRule>
    <cfRule type="cellIs" dxfId="26" priority="18" operator="equal">
      <formula>"PASS"</formula>
    </cfRule>
    <cfRule type="cellIs" dxfId="25" priority="19" operator="equal">
      <formula>"WARNING"</formula>
    </cfRule>
    <cfRule type="containsBlanks" dxfId="24" priority="20">
      <formula>LEN(TRIM(H16))=0</formula>
    </cfRule>
  </conditionalFormatting>
  <conditionalFormatting sqref="H20">
    <cfRule type="cellIs" dxfId="23" priority="13" operator="equal">
      <formula>"FAIL"</formula>
    </cfRule>
    <cfRule type="cellIs" dxfId="22" priority="14" operator="equal">
      <formula>"PASS"</formula>
    </cfRule>
    <cfRule type="cellIs" dxfId="21" priority="15" operator="equal">
      <formula>"WARNING"</formula>
    </cfRule>
    <cfRule type="containsBlanks" dxfId="20" priority="16">
      <formula>LEN(TRIM(H20))=0</formula>
    </cfRule>
  </conditionalFormatting>
  <conditionalFormatting sqref="H23">
    <cfRule type="containsBlanks" dxfId="19" priority="116">
      <formula>LEN(TRIM(H23))=0</formula>
    </cfRule>
    <cfRule type="cellIs" dxfId="18" priority="113" operator="equal">
      <formula>"FAIL"</formula>
    </cfRule>
    <cfRule type="cellIs" dxfId="17" priority="114" operator="equal">
      <formula>"PASS"</formula>
    </cfRule>
    <cfRule type="cellIs" dxfId="16" priority="115" operator="equal">
      <formula>"WARNING"</formula>
    </cfRule>
  </conditionalFormatting>
  <conditionalFormatting sqref="H26:H30">
    <cfRule type="cellIs" dxfId="15" priority="3" operator="equal">
      <formula>"WARNING"</formula>
    </cfRule>
    <cfRule type="containsBlanks" dxfId="14" priority="4">
      <formula>LEN(TRIM(H26))=0</formula>
    </cfRule>
    <cfRule type="cellIs" dxfId="13" priority="1" operator="equal">
      <formula>"FAIL"</formula>
    </cfRule>
    <cfRule type="cellIs" dxfId="12" priority="2" operator="equal">
      <formula>"PASS"</formula>
    </cfRule>
  </conditionalFormatting>
  <conditionalFormatting sqref="H34">
    <cfRule type="cellIs" dxfId="11" priority="105" operator="equal">
      <formula>"FAIL"</formula>
    </cfRule>
    <cfRule type="cellIs" dxfId="10" priority="106" operator="equal">
      <formula>"PASS"</formula>
    </cfRule>
    <cfRule type="cellIs" dxfId="9" priority="107" operator="equal">
      <formula>"WARNING"</formula>
    </cfRule>
    <cfRule type="containsBlanks" dxfId="8" priority="108">
      <formula>LEN(TRIM(H34))=0</formula>
    </cfRule>
  </conditionalFormatting>
  <conditionalFormatting sqref="H37:H39">
    <cfRule type="cellIs" dxfId="7" priority="49" operator="equal">
      <formula>"FAIL"</formula>
    </cfRule>
    <cfRule type="containsBlanks" dxfId="6" priority="52">
      <formula>LEN(TRIM(H37))=0</formula>
    </cfRule>
    <cfRule type="cellIs" dxfId="5" priority="50" operator="equal">
      <formula>"PASS"</formula>
    </cfRule>
    <cfRule type="cellIs" dxfId="4" priority="51" operator="equal">
      <formula>"WARNING"</formula>
    </cfRule>
  </conditionalFormatting>
  <conditionalFormatting sqref="I2:I3">
    <cfRule type="cellIs" dxfId="3" priority="81" operator="equal">
      <formula>"FAIL"</formula>
    </cfRule>
    <cfRule type="cellIs" dxfId="2" priority="82" operator="equal">
      <formula>"PASS"</formula>
    </cfRule>
    <cfRule type="cellIs" dxfId="1" priority="83" operator="equal">
      <formula>"WARNING"</formula>
    </cfRule>
    <cfRule type="containsBlanks" dxfId="0" priority="84">
      <formula>LEN(TRIM(I2))=0</formula>
    </cfRule>
  </conditionalFormatting>
  <dataValidations xWindow="1346" yWindow="406" count="1">
    <dataValidation type="list" allowBlank="1" showInputMessage="1" showErrorMessage="1" prompt="Click and enter a value from the list of items" sqref="H9:H14 H23 H34 H7 H37:H39 H16:H18 H20 H26:H30" xr:uid="{00000000-0002-0000-0000-000000000000}">
      <formula1>"PASS,FAIL,WARNING"</formula1>
    </dataValidation>
  </dataValidations>
  <hyperlinks>
    <hyperlink ref="D7" r:id="rId1" xr:uid="{00000000-0004-0000-0000-000000000000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kamrul</dc:creator>
  <cp:lastModifiedBy>Shashank K</cp:lastModifiedBy>
  <cp:lastPrinted>2020-08-07T07:40:07Z</cp:lastPrinted>
  <dcterms:created xsi:type="dcterms:W3CDTF">2020-08-07T08:33:33Z</dcterms:created>
  <dcterms:modified xsi:type="dcterms:W3CDTF">2026-02-23T13:17:47Z</dcterms:modified>
</cp:coreProperties>
</file>